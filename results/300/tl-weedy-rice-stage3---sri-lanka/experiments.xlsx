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bia\Coding-Git\P9\"/>
    </mc:Choice>
  </mc:AlternateContent>
  <xr:revisionPtr revIDLastSave="0" documentId="13_ncr:1_{E3AA18FF-D36C-413E-8E16-3657AE48A0E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9" i="1" l="1"/>
  <c r="AC18" i="1"/>
  <c r="AC17" i="1"/>
  <c r="AC16" i="1"/>
  <c r="AK19" i="1"/>
  <c r="AK18" i="1"/>
  <c r="AK17" i="1"/>
  <c r="AK16" i="1"/>
  <c r="AG19" i="1"/>
  <c r="AG18" i="1"/>
  <c r="AG17" i="1"/>
  <c r="AG16" i="1"/>
  <c r="Y17" i="1"/>
  <c r="Y18" i="1"/>
  <c r="Y19" i="1"/>
  <c r="Y16" i="1"/>
  <c r="AB19" i="1"/>
  <c r="AJ19" i="1"/>
  <c r="AF19" i="1"/>
  <c r="AB18" i="1"/>
  <c r="AJ18" i="1"/>
  <c r="AF18" i="1"/>
  <c r="AB17" i="1"/>
  <c r="AJ17" i="1"/>
  <c r="AF17" i="1"/>
  <c r="AB16" i="1"/>
  <c r="AJ16" i="1"/>
  <c r="AF16" i="1"/>
  <c r="X16" i="1"/>
  <c r="X17" i="1"/>
  <c r="X18" i="1"/>
  <c r="X19" i="1"/>
</calcChain>
</file>

<file path=xl/sharedStrings.xml><?xml version="1.0" encoding="utf-8"?>
<sst xmlns="http://schemas.openxmlformats.org/spreadsheetml/2006/main" count="91" uniqueCount="91">
  <si>
    <t>json_path</t>
  </si>
  <si>
    <t>num_records</t>
  </si>
  <si>
    <t>MRAE_avg</t>
  </si>
  <si>
    <t>MRAE_median</t>
  </si>
  <si>
    <t>MSE_avg</t>
  </si>
  <si>
    <t>MSE_median</t>
  </si>
  <si>
    <t>RMSE_avg</t>
  </si>
  <si>
    <t>RMSE_median</t>
  </si>
  <si>
    <t>PSNR_avg</t>
  </si>
  <si>
    <t>PSNR_median</t>
  </si>
  <si>
    <t>SSIM_avg</t>
  </si>
  <si>
    <t>SSIM_median</t>
  </si>
  <si>
    <t>SAM_avg</t>
  </si>
  <si>
    <t>SAM_median</t>
  </si>
  <si>
    <t>NDVI_PRED_avg</t>
  </si>
  <si>
    <t>NDVI_PRED_median</t>
  </si>
  <si>
    <t>NDVI_GT_avg</t>
  </si>
  <si>
    <t>NDVI_GT_median</t>
  </si>
  <si>
    <t>NDRE_PRED_avg</t>
  </si>
  <si>
    <t>NDRE_PRED_median</t>
  </si>
  <si>
    <t>NDRE_GT_avg</t>
  </si>
  <si>
    <t>NDRE_GT_median</t>
  </si>
  <si>
    <t>MRAE_G_avg</t>
  </si>
  <si>
    <t>MRAE_G_median</t>
  </si>
  <si>
    <t>MSE_G_avg</t>
  </si>
  <si>
    <t>MSE_G_median</t>
  </si>
  <si>
    <t>RMSE_G_avg</t>
  </si>
  <si>
    <t>RMSE_G_median</t>
  </si>
  <si>
    <t>PSNR_G_avg</t>
  </si>
  <si>
    <t>PSNR_G_median</t>
  </si>
  <si>
    <t>SSIM_G_avg</t>
  </si>
  <si>
    <t>SSIM_G_median</t>
  </si>
  <si>
    <t>SAM_G_avg</t>
  </si>
  <si>
    <t>SAM_G_median</t>
  </si>
  <si>
    <t>MRAE_R_avg</t>
  </si>
  <si>
    <t>MRAE_R_median</t>
  </si>
  <si>
    <t>MSE_R_avg</t>
  </si>
  <si>
    <t>MSE_R_median</t>
  </si>
  <si>
    <t>RMSE_R_avg</t>
  </si>
  <si>
    <t>RMSE_R_median</t>
  </si>
  <si>
    <t>PSNR_R_avg</t>
  </si>
  <si>
    <t>PSNR_R_median</t>
  </si>
  <si>
    <t>SSIM_R_avg</t>
  </si>
  <si>
    <t>SSIM_R_median</t>
  </si>
  <si>
    <t>SAM_R_avg</t>
  </si>
  <si>
    <t>SAM_R_median</t>
  </si>
  <si>
    <t>MRAE_RE_avg</t>
  </si>
  <si>
    <t>MRAE_RE_median</t>
  </si>
  <si>
    <t>MSE_RE_avg</t>
  </si>
  <si>
    <t>MSE_RE_median</t>
  </si>
  <si>
    <t>RMSE_RE_avg</t>
  </si>
  <si>
    <t>RMSE_RE_median</t>
  </si>
  <si>
    <t>PSNR_RE_avg</t>
  </si>
  <si>
    <t>PSNR_RE_median</t>
  </si>
  <si>
    <t>SSIM_RE_avg</t>
  </si>
  <si>
    <t>SSIM_RE_median</t>
  </si>
  <si>
    <t>SAM_RE_avg</t>
  </si>
  <si>
    <t>SAM_RE_median</t>
  </si>
  <si>
    <t>MRAE_NIR_avg</t>
  </si>
  <si>
    <t>MRAE_NIR_median</t>
  </si>
  <si>
    <t>MSE_NIR_avg</t>
  </si>
  <si>
    <t>MSE_NIR_median</t>
  </si>
  <si>
    <t>RMSE_NIR_avg</t>
  </si>
  <si>
    <t>RMSE_NIR_median</t>
  </si>
  <si>
    <t>PSNR_NIR_avg</t>
  </si>
  <si>
    <t>PSNR_NIR_median</t>
  </si>
  <si>
    <t>SSIM_NIR_avg</t>
  </si>
  <si>
    <t>SSIM_NIR_median</t>
  </si>
  <si>
    <t>SAM_NIR_avg</t>
  </si>
  <si>
    <t>SAM_NIR_median</t>
  </si>
  <si>
    <t>.\results\300\tl-weedy-rice-stage3---sri-lanka\results-experiment.json</t>
  </si>
  <si>
    <t>MRAE G</t>
  </si>
  <si>
    <t>MRAE R</t>
  </si>
  <si>
    <t>MRAE RE</t>
  </si>
  <si>
    <t>MRAE NIR</t>
  </si>
  <si>
    <t>SSIM G</t>
  </si>
  <si>
    <t>SSIM R</t>
  </si>
  <si>
    <t>SSIM RE</t>
  </si>
  <si>
    <t>SSIM NIR</t>
  </si>
  <si>
    <t>PSNR G</t>
  </si>
  <si>
    <t>PSNR R</t>
  </si>
  <si>
    <t>PSNR RE</t>
  </si>
  <si>
    <t>PSNR NIR</t>
  </si>
  <si>
    <t>RMSE G</t>
  </si>
  <si>
    <t>RMSE R</t>
  </si>
  <si>
    <t>RMSE RE</t>
  </si>
  <si>
    <t>RMSE NIR</t>
  </si>
  <si>
    <t>SSIM AVG</t>
  </si>
  <si>
    <t>PSNR AVG</t>
  </si>
  <si>
    <t>RMSE AVG</t>
  </si>
  <si>
    <t>MRAE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</si>
</sst>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9"/>
  <sheetViews>
    <sheetView tabSelected="1" topLeftCell="U4" workbookViewId="0">
      <selection activeCell="AB16" sqref="AB16:AB19"/>
    </sheetView>
  </sheetViews>
  <sheetFormatPr defaultRowHeight="14.25" x14ac:dyDescent="0.45"/>
  <cols>
    <col min="1" max="1" width="61" bestFit="1" customWidth="1"/>
    <col min="2" max="2" width="11.6640625" bestFit="1" customWidth="1"/>
    <col min="3" max="3" width="11.73046875" bestFit="1" customWidth="1"/>
    <col min="4" max="4" width="13.1328125" bestFit="1" customWidth="1"/>
    <col min="5" max="7" width="11.73046875" bestFit="1" customWidth="1"/>
    <col min="8" max="8" width="12.86328125" bestFit="1" customWidth="1"/>
    <col min="9" max="9" width="11.73046875" bestFit="1" customWidth="1"/>
    <col min="10" max="10" width="12.59765625" bestFit="1" customWidth="1"/>
    <col min="11" max="11" width="11.73046875" bestFit="1" customWidth="1"/>
    <col min="12" max="12" width="12.33203125" bestFit="1" customWidth="1"/>
    <col min="13" max="13" width="11.73046875" bestFit="1" customWidth="1"/>
    <col min="14" max="14" width="11.9296875" bestFit="1" customWidth="1"/>
    <col min="15" max="15" width="14.19921875" bestFit="1" customWidth="1"/>
    <col min="16" max="16" width="17.796875" bestFit="1" customWidth="1"/>
    <col min="17" max="17" width="12.19921875" bestFit="1" customWidth="1"/>
    <col min="18" max="18" width="15.6640625" bestFit="1" customWidth="1"/>
    <col min="19" max="19" width="14.46484375" bestFit="1" customWidth="1"/>
    <col min="20" max="20" width="18.06640625" bestFit="1" customWidth="1"/>
    <col min="21" max="21" width="12.46484375" bestFit="1" customWidth="1"/>
    <col min="22" max="22" width="16.06640625" bestFit="1" customWidth="1"/>
    <col min="23" max="23" width="11.796875" bestFit="1" customWidth="1"/>
    <col min="24" max="24" width="15.3984375" bestFit="1" customWidth="1"/>
    <col min="25" max="25" width="11.73046875" bestFit="1" customWidth="1"/>
    <col min="26" max="26" width="14.06640625" bestFit="1" customWidth="1"/>
    <col min="27" max="27" width="11.73046875" bestFit="1" customWidth="1"/>
    <col min="28" max="28" width="15.1328125" bestFit="1" customWidth="1"/>
    <col min="29" max="29" width="11.73046875" bestFit="1" customWidth="1"/>
    <col min="30" max="30" width="14.86328125" bestFit="1" customWidth="1"/>
    <col min="31" max="31" width="11.73046875" bestFit="1" customWidth="1"/>
    <col min="32" max="32" width="14.59765625" bestFit="1" customWidth="1"/>
    <col min="33" max="33" width="11.73046875" bestFit="1" customWidth="1"/>
    <col min="34" max="34" width="14.33203125" bestFit="1" customWidth="1"/>
    <col min="35" max="35" width="11.73046875" bestFit="1" customWidth="1"/>
    <col min="36" max="36" width="15.1328125" bestFit="1" customWidth="1"/>
    <col min="37" max="37" width="11.73046875" bestFit="1" customWidth="1"/>
    <col min="38" max="38" width="13.796875" bestFit="1" customWidth="1"/>
    <col min="39" max="39" width="11.73046875" bestFit="1" customWidth="1"/>
    <col min="40" max="40" width="14.86328125" bestFit="1" customWidth="1"/>
    <col min="41" max="41" width="11.73046875" bestFit="1" customWidth="1"/>
    <col min="42" max="42" width="14.59765625" bestFit="1" customWidth="1"/>
    <col min="43" max="43" width="11.73046875" bestFit="1" customWidth="1"/>
    <col min="44" max="44" width="14.33203125" bestFit="1" customWidth="1"/>
    <col min="45" max="45" width="11.73046875" bestFit="1" customWidth="1"/>
    <col min="46" max="46" width="14.06640625" bestFit="1" customWidth="1"/>
    <col min="47" max="47" width="12.59765625" bestFit="1" customWidth="1"/>
    <col min="48" max="48" width="16.19921875" bestFit="1" customWidth="1"/>
    <col min="49" max="49" width="11.73046875" bestFit="1" customWidth="1"/>
    <col min="50" max="50" width="14.73046875" bestFit="1" customWidth="1"/>
    <col min="51" max="51" width="12.33203125" bestFit="1" customWidth="1"/>
    <col min="52" max="52" width="15.796875" bestFit="1" customWidth="1"/>
    <col min="53" max="53" width="11.9296875" bestFit="1" customWidth="1"/>
    <col min="54" max="54" width="15.53125" bestFit="1" customWidth="1"/>
    <col min="55" max="55" width="11.73046875" bestFit="1" customWidth="1"/>
    <col min="56" max="56" width="15.265625" bestFit="1" customWidth="1"/>
    <col min="57" max="57" width="11.73046875" bestFit="1" customWidth="1"/>
    <col min="58" max="58" width="15" bestFit="1" customWidth="1"/>
    <col min="59" max="59" width="13.53125" bestFit="1" customWidth="1"/>
    <col min="60" max="60" width="17.1328125" bestFit="1" customWidth="1"/>
    <col min="61" max="61" width="12.19921875" bestFit="1" customWidth="1"/>
    <col min="62" max="62" width="15.6640625" bestFit="1" customWidth="1"/>
    <col min="63" max="63" width="13.265625" bestFit="1" customWidth="1"/>
    <col min="64" max="64" width="16.86328125" bestFit="1" customWidth="1"/>
    <col min="65" max="65" width="13" bestFit="1" customWidth="1"/>
    <col min="66" max="66" width="16.59765625" bestFit="1" customWidth="1"/>
    <col min="67" max="67" width="12.73046875" bestFit="1" customWidth="1"/>
    <col min="68" max="68" width="16.33203125" bestFit="1" customWidth="1"/>
    <col min="69" max="69" width="12.46484375" bestFit="1" customWidth="1"/>
    <col min="70" max="70" width="16.06640625" bestFit="1" customWidth="1"/>
  </cols>
  <sheetData>
    <row r="1" spans="1:7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45">
      <c r="A2" t="s">
        <v>70</v>
      </c>
      <c r="B2">
        <v>82</v>
      </c>
      <c r="C2">
        <v>0.2410588467993387</v>
      </c>
      <c r="D2">
        <v>0.24029512703418729</v>
      </c>
      <c r="E2">
        <v>4.245445941484011E-3</v>
      </c>
      <c r="F2">
        <v>4.2121135629713544E-3</v>
      </c>
      <c r="G2">
        <v>6.5047544767943818E-2</v>
      </c>
      <c r="H2">
        <v>6.4900800585746765E-2</v>
      </c>
      <c r="I2">
        <v>23.749929242017789</v>
      </c>
      <c r="J2">
        <v>23.756443023681641</v>
      </c>
      <c r="K2">
        <v>0.47816716607024029</v>
      </c>
      <c r="L2">
        <v>0.48094707727432251</v>
      </c>
      <c r="M2">
        <v>0.12551521882414821</v>
      </c>
      <c r="N2">
        <v>0.12678651511669159</v>
      </c>
      <c r="O2">
        <v>0.18491386131542481</v>
      </c>
      <c r="P2">
        <v>0.18257932364940641</v>
      </c>
      <c r="Q2">
        <v>0.193897566235647</v>
      </c>
      <c r="R2">
        <v>0.1951794624328613</v>
      </c>
      <c r="S2">
        <v>-2.6244144909447289E-2</v>
      </c>
      <c r="T2">
        <v>-2.5894885882735249E-2</v>
      </c>
      <c r="U2">
        <v>-3.1692255436011202E-2</v>
      </c>
      <c r="V2">
        <v>-3.2229207456111908E-2</v>
      </c>
      <c r="W2">
        <v>0.25756256518567477</v>
      </c>
      <c r="X2">
        <v>0.25639462471008301</v>
      </c>
      <c r="Y2">
        <v>4.9377864868402847E-3</v>
      </c>
      <c r="Z2">
        <v>4.86324867233634E-3</v>
      </c>
      <c r="AA2">
        <v>7.0144254986832785E-2</v>
      </c>
      <c r="AB2">
        <v>6.9736994802951813E-2</v>
      </c>
      <c r="AC2">
        <v>23.095415766646219</v>
      </c>
      <c r="AD2">
        <v>23.14305305480957</v>
      </c>
      <c r="AE2">
        <v>0.40345682930655602</v>
      </c>
      <c r="AF2">
        <v>0.41001155972480768</v>
      </c>
      <c r="AG2">
        <v>7.5990332733476306E-4</v>
      </c>
      <c r="AH2">
        <v>7.5336219742894173E-4</v>
      </c>
      <c r="AI2">
        <v>0.26101673848745299</v>
      </c>
      <c r="AJ2">
        <v>0.25589770078659058</v>
      </c>
      <c r="AK2">
        <v>3.0105664159125849E-3</v>
      </c>
      <c r="AL2">
        <v>2.818061970174313E-3</v>
      </c>
      <c r="AM2">
        <v>5.4479705033505833E-2</v>
      </c>
      <c r="AN2">
        <v>5.3085420280694962E-2</v>
      </c>
      <c r="AO2">
        <v>25.334592540089702</v>
      </c>
      <c r="AP2">
        <v>25.515163421630859</v>
      </c>
      <c r="AQ2">
        <v>0.50759837067708735</v>
      </c>
      <c r="AR2">
        <v>0.50767678022384644</v>
      </c>
      <c r="AS2">
        <v>9.5243687548379351E-4</v>
      </c>
      <c r="AT2">
        <v>9.5147703541442752E-4</v>
      </c>
      <c r="AU2">
        <v>0.24826636565167731</v>
      </c>
      <c r="AV2">
        <v>0.2466394305229187</v>
      </c>
      <c r="AW2">
        <v>5.8988011271760956E-3</v>
      </c>
      <c r="AX2">
        <v>5.7994467206299296E-3</v>
      </c>
      <c r="AY2">
        <v>7.6665487867303012E-2</v>
      </c>
      <c r="AZ2">
        <v>7.615409791469574E-2</v>
      </c>
      <c r="BA2">
        <v>22.323653081568281</v>
      </c>
      <c r="BB2">
        <v>22.377607345581051</v>
      </c>
      <c r="BC2">
        <v>0.41345260128742312</v>
      </c>
      <c r="BD2">
        <v>0.42371809482574457</v>
      </c>
      <c r="BE2">
        <v>5.8853154911137203E-4</v>
      </c>
      <c r="BF2">
        <v>5.8748992159962654E-4</v>
      </c>
      <c r="BG2">
        <v>0.19738971151229809</v>
      </c>
      <c r="BH2">
        <v>0.19362394511699679</v>
      </c>
      <c r="BI2">
        <v>3.1346297203903879E-3</v>
      </c>
      <c r="BJ2">
        <v>3.097619628533721E-3</v>
      </c>
      <c r="BK2">
        <v>5.5850641665662212E-2</v>
      </c>
      <c r="BL2">
        <v>5.5656261742115021E-2</v>
      </c>
      <c r="BM2">
        <v>25.080332128013101</v>
      </c>
      <c r="BN2">
        <v>25.092618942260739</v>
      </c>
      <c r="BO2">
        <v>0.58816085683136454</v>
      </c>
      <c r="BP2">
        <v>0.59054821729660034</v>
      </c>
      <c r="BQ2">
        <v>6.2189091468320748E-4</v>
      </c>
      <c r="BR2">
        <v>6.2343553872779012E-4</v>
      </c>
    </row>
    <row r="15" spans="1:70" x14ac:dyDescent="0.45">
      <c r="W15" t="s">
        <v>90</v>
      </c>
      <c r="X15">
        <v>0.24099999999999999</v>
      </c>
      <c r="AA15" t="s">
        <v>89</v>
      </c>
      <c r="AB15">
        <v>6.5000000000000002E-2</v>
      </c>
      <c r="AE15" t="s">
        <v>87</v>
      </c>
      <c r="AF15">
        <v>0.47799999999999998</v>
      </c>
      <c r="AI15" t="s">
        <v>88</v>
      </c>
      <c r="AJ15">
        <v>23.75</v>
      </c>
    </row>
    <row r="16" spans="1:70" x14ac:dyDescent="0.45">
      <c r="W16" t="s">
        <v>71</v>
      </c>
      <c r="X16">
        <f>W2</f>
        <v>0.25756256518567477</v>
      </c>
      <c r="Y16">
        <f>X16-X$15</f>
        <v>1.6562565185674782E-2</v>
      </c>
      <c r="AA16" t="s">
        <v>83</v>
      </c>
      <c r="AB16">
        <f>AA2</f>
        <v>7.0144254986832785E-2</v>
      </c>
      <c r="AC16">
        <f>AB16-AB$15</f>
        <v>5.144254986832783E-3</v>
      </c>
      <c r="AE16" t="s">
        <v>75</v>
      </c>
      <c r="AF16">
        <f>AE2</f>
        <v>0.40345682930655602</v>
      </c>
      <c r="AG16">
        <f>AF16-AF$15</f>
        <v>-7.4543170693443961E-2</v>
      </c>
      <c r="AI16" t="s">
        <v>79</v>
      </c>
      <c r="AJ16">
        <f>AC2</f>
        <v>23.095415766646219</v>
      </c>
      <c r="AK16">
        <f>AJ16-AJ$15</f>
        <v>-0.65458423335378058</v>
      </c>
    </row>
    <row r="17" spans="23:37" x14ac:dyDescent="0.45">
      <c r="W17" t="s">
        <v>72</v>
      </c>
      <c r="X17">
        <f>AI2</f>
        <v>0.26101673848745299</v>
      </c>
      <c r="Y17">
        <f t="shared" ref="Y17:Y19" si="0">X17-X$15</f>
        <v>2.0016738487453001E-2</v>
      </c>
      <c r="AA17" t="s">
        <v>84</v>
      </c>
      <c r="AB17">
        <f>AM2</f>
        <v>5.4479705033505833E-2</v>
      </c>
      <c r="AC17">
        <f>AB17-AB$15</f>
        <v>-1.0520294966494169E-2</v>
      </c>
      <c r="AE17" t="s">
        <v>76</v>
      </c>
      <c r="AF17">
        <f>AQ2</f>
        <v>0.50759837067708735</v>
      </c>
      <c r="AG17">
        <f>AF17-AF$15</f>
        <v>2.9598370677087371E-2</v>
      </c>
      <c r="AI17" t="s">
        <v>80</v>
      </c>
      <c r="AJ17">
        <f>AO2</f>
        <v>25.334592540089702</v>
      </c>
      <c r="AK17">
        <f>AJ17-AJ$15</f>
        <v>1.5845925400897016</v>
      </c>
    </row>
    <row r="18" spans="23:37" x14ac:dyDescent="0.45">
      <c r="W18" t="s">
        <v>73</v>
      </c>
      <c r="X18">
        <f>AU2</f>
        <v>0.24826636565167731</v>
      </c>
      <c r="Y18">
        <f t="shared" si="0"/>
        <v>7.2663656516773201E-3</v>
      </c>
      <c r="AA18" t="s">
        <v>85</v>
      </c>
      <c r="AB18">
        <f>AY2</f>
        <v>7.6665487867303012E-2</v>
      </c>
      <c r="AC18">
        <f>AB18-AB$15</f>
        <v>1.1665487867303009E-2</v>
      </c>
      <c r="AE18" t="s">
        <v>77</v>
      </c>
      <c r="AF18">
        <f>BC2</f>
        <v>0.41345260128742312</v>
      </c>
      <c r="AG18">
        <f>AF18-AF$15</f>
        <v>-6.4547398712576864E-2</v>
      </c>
      <c r="AI18" t="s">
        <v>81</v>
      </c>
      <c r="AJ18">
        <f>BA2</f>
        <v>22.323653081568281</v>
      </c>
      <c r="AK18">
        <f>AJ18-AJ$15</f>
        <v>-1.4263469184317188</v>
      </c>
    </row>
    <row r="19" spans="23:37" x14ac:dyDescent="0.45">
      <c r="W19" t="s">
        <v>74</v>
      </c>
      <c r="X19">
        <f>BG2</f>
        <v>0.19738971151229809</v>
      </c>
      <c r="Y19">
        <f t="shared" si="0"/>
        <v>-4.3610288487701904E-2</v>
      </c>
      <c r="AA19" t="s">
        <v>86</v>
      </c>
      <c r="AB19">
        <f>BK2</f>
        <v>5.5850641665662212E-2</v>
      </c>
      <c r="AC19">
        <f>AB19-AB$15</f>
        <v>-9.1493583343377899E-3</v>
      </c>
      <c r="AE19" t="s">
        <v>78</v>
      </c>
      <c r="AF19">
        <f>BO2</f>
        <v>0.58816085683136454</v>
      </c>
      <c r="AG19">
        <f>AF19-AF$15</f>
        <v>0.11016085683136456</v>
      </c>
      <c r="AI19" t="s">
        <v>82</v>
      </c>
      <c r="AJ19">
        <f>BM2</f>
        <v>25.080332128013101</v>
      </c>
      <c r="AK19">
        <f>AJ19-AJ$15</f>
        <v>1.3303321280131009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Surland Madsen</cp:lastModifiedBy>
  <dcterms:created xsi:type="dcterms:W3CDTF">2026-01-16T11:50:23Z</dcterms:created>
  <dcterms:modified xsi:type="dcterms:W3CDTF">2026-01-17T14:01:01Z</dcterms:modified>
</cp:coreProperties>
</file>